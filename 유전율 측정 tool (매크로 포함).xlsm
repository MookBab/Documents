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eas4\Downloads\"/>
    </mc:Choice>
  </mc:AlternateContent>
  <xr:revisionPtr revIDLastSave="0" documentId="13_ncr:1_{25B729EE-6A3C-4834-9645-750A7AAF0310}" xr6:coauthVersionLast="47" xr6:coauthVersionMax="47" xr10:uidLastSave="{00000000-0000-0000-0000-000000000000}"/>
  <bookViews>
    <workbookView xWindow="-108" yWindow="-108" windowWidth="30936" windowHeight="18696" activeTab="1" xr2:uid="{6F310139-B884-40FE-BD0F-06E31CA6FAD7}"/>
  </bookViews>
  <sheets>
    <sheet name="취합" sheetId="3" r:id="rId1"/>
    <sheet name="Referece" sheetId="2" r:id="rId2"/>
  </sheets>
  <externalReferences>
    <externalReference r:id="rId3"/>
  </externalReferences>
  <definedNames>
    <definedName name="Cp사">Referece!$J$26</definedName>
    <definedName name="Cp삼">Referece!$J$24</definedName>
    <definedName name="Cp오">Referece!$J$28</definedName>
    <definedName name="Cp이">Referece!$J$22</definedName>
    <definedName name="Cp일">Referece!$J$20</definedName>
    <definedName name="Cs사">Referece!$J$25</definedName>
    <definedName name="Cs삼">Referece!$J$23</definedName>
    <definedName name="Cs오">Referece!$J$27</definedName>
    <definedName name="Cs이">Referece!$J$21</definedName>
    <definedName name="Cs일">Referece!$J$19</definedName>
    <definedName name="Rp사">Referece!$H$26</definedName>
    <definedName name="Rp삼">Referece!$H$24</definedName>
    <definedName name="Rp오">Referece!$H$28</definedName>
    <definedName name="Rp이">Referece!$H$22</definedName>
    <definedName name="Rp일">Referece!$H$20</definedName>
    <definedName name="Rs사">Referece!$H$25</definedName>
    <definedName name="Rs삼">Referece!$H$23</definedName>
    <definedName name="Rs오">Referece!$H$27</definedName>
    <definedName name="Rs이">Referece!$H$21</definedName>
    <definedName name="Rs일">Referece!$H$19</definedName>
    <definedName name="기가">Referece!$O$9</definedName>
    <definedName name="나노">Referece!$O$4</definedName>
    <definedName name="단위적용">Referece!$Q$3</definedName>
    <definedName name="마이크로">Referece!$O$5</definedName>
    <definedName name="메가">Referece!$O$8</definedName>
    <definedName name="밀리">Referece!$O$6</definedName>
    <definedName name="정전용량">Referece!$M$3</definedName>
    <definedName name="초기화범위" localSheetId="0">'[1]35'!$C$4,'[1]35'!$H$19:$H$28,'[1]35'!$J$19:$J$28,'[1]35'!$Q$3:$Q$7</definedName>
    <definedName name="초기화범위">Referece!$C$4,Referece!$H$19:$H$28,Referece!$J$19:$J$28,Referece!$Q$12:$Q$16</definedName>
    <definedName name="킬로">Referece!$O$7</definedName>
    <definedName name="테라">Referece!$O$10</definedName>
    <definedName name="피코">Referece!$O$3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" i="2" l="1"/>
  <c r="O9" i="2"/>
  <c r="O8" i="2"/>
  <c r="O7" i="2"/>
  <c r="O6" i="2"/>
  <c r="O5" i="2"/>
  <c r="O4" i="2"/>
  <c r="O3" i="2"/>
  <c r="Q17" i="2"/>
  <c r="N28" i="2" l="1"/>
  <c r="N27" i="2"/>
  <c r="G15" i="2"/>
  <c r="N26" i="2"/>
  <c r="G14" i="2"/>
  <c r="N25" i="2"/>
  <c r="G13" i="2"/>
  <c r="N24" i="2"/>
  <c r="G12" i="2"/>
  <c r="N23" i="2"/>
  <c r="N22" i="2"/>
  <c r="G10" i="2"/>
  <c r="N21" i="2"/>
  <c r="N20" i="2"/>
  <c r="G8" i="2"/>
  <c r="N19" i="2"/>
  <c r="G7" i="2"/>
  <c r="F19" i="2"/>
  <c r="K19" i="2" s="1"/>
  <c r="E19" i="2"/>
  <c r="D19" i="2"/>
  <c r="H16" i="2"/>
  <c r="G16" i="2"/>
  <c r="H15" i="2"/>
  <c r="H14" i="2"/>
  <c r="H13" i="2"/>
  <c r="H12" i="2"/>
  <c r="H11" i="2"/>
  <c r="G11" i="2"/>
  <c r="H10" i="2"/>
  <c r="H9" i="2"/>
  <c r="G9" i="2"/>
  <c r="C19" i="2"/>
  <c r="H8" i="2"/>
  <c r="H7" i="2"/>
  <c r="E7" i="2"/>
  <c r="D7" i="2"/>
  <c r="K23" i="2" l="1"/>
  <c r="M23" i="2" s="1"/>
  <c r="M24" i="2" s="1"/>
  <c r="O24" i="2" s="1"/>
  <c r="Q24" i="2" s="1"/>
  <c r="K21" i="2"/>
  <c r="M21" i="2" s="1"/>
  <c r="M19" i="2"/>
  <c r="M20" i="2" s="1"/>
  <c r="O20" i="2" s="1"/>
  <c r="C7" i="2"/>
  <c r="I8" i="2" s="1"/>
  <c r="K8" i="2" s="1"/>
  <c r="K27" i="2"/>
  <c r="M27" i="2" s="1"/>
  <c r="K25" i="2"/>
  <c r="M25" i="2" s="1"/>
  <c r="O23" i="2" l="1"/>
  <c r="Q23" i="2" s="1"/>
  <c r="I14" i="2"/>
  <c r="K14" i="2" s="1"/>
  <c r="I11" i="2"/>
  <c r="K11" i="2" s="1"/>
  <c r="I7" i="2"/>
  <c r="K7" i="2" s="1"/>
  <c r="O25" i="2"/>
  <c r="Q25" i="2" s="1"/>
  <c r="M26" i="2"/>
  <c r="O26" i="2" s="1"/>
  <c r="Q26" i="2" s="1"/>
  <c r="Q20" i="2"/>
  <c r="O19" i="2"/>
  <c r="Q19" i="2" s="1"/>
  <c r="M22" i="2"/>
  <c r="O22" i="2" s="1"/>
  <c r="Q22" i="2" s="1"/>
  <c r="O21" i="2"/>
  <c r="Q21" i="2" s="1"/>
  <c r="I16" i="2"/>
  <c r="K16" i="2" s="1"/>
  <c r="I10" i="2"/>
  <c r="K10" i="2" s="1"/>
  <c r="M28" i="2"/>
  <c r="O28" i="2" s="1"/>
  <c r="Q28" i="2" s="1"/>
  <c r="O27" i="2"/>
  <c r="Q27" i="2" s="1"/>
  <c r="I15" i="2"/>
  <c r="K15" i="2" s="1"/>
  <c r="I12" i="2"/>
  <c r="K12" i="2" s="1"/>
  <c r="I13" i="2"/>
  <c r="K13" i="2" s="1"/>
  <c r="I9" i="2"/>
  <c r="K9" i="2" s="1"/>
  <c r="E4" i="2" l="1"/>
  <c r="G4" i="2"/>
  <c r="F4" i="2"/>
  <c r="D4" i="2"/>
</calcChain>
</file>

<file path=xl/sharedStrings.xml><?xml version="1.0" encoding="utf-8"?>
<sst xmlns="http://schemas.openxmlformats.org/spreadsheetml/2006/main" count="136" uniqueCount="48">
  <si>
    <t>평균값</t>
    <phoneticPr fontId="3" type="noConversion"/>
  </si>
  <si>
    <t>주파수(Hz)</t>
    <phoneticPr fontId="3" type="noConversion"/>
  </si>
  <si>
    <r>
      <t>유전상수(</t>
    </r>
    <r>
      <rPr>
        <sz val="11"/>
        <color theme="1"/>
        <rFont val="Calibri"/>
        <family val="2"/>
        <charset val="161"/>
      </rPr>
      <t>ε</t>
    </r>
    <r>
      <rPr>
        <sz val="11"/>
        <color theme="1"/>
        <rFont val="맑은 고딕"/>
        <family val="2"/>
        <charset val="129"/>
        <scheme val="minor"/>
      </rPr>
      <t>r)</t>
    </r>
    <phoneticPr fontId="3" type="noConversion"/>
  </si>
  <si>
    <r>
      <t>유전상수(</t>
    </r>
    <r>
      <rPr>
        <b/>
        <sz val="11"/>
        <color theme="1"/>
        <rFont val="Calibri"/>
        <family val="3"/>
        <charset val="161"/>
      </rPr>
      <t>ε</t>
    </r>
    <r>
      <rPr>
        <b/>
        <sz val="11"/>
        <color theme="1"/>
        <rFont val="맑은 고딕"/>
        <family val="3"/>
        <charset val="129"/>
        <scheme val="minor"/>
      </rPr>
      <t>r)_Loss tangent 적용</t>
    </r>
    <phoneticPr fontId="3" type="noConversion"/>
  </si>
  <si>
    <t>두께(mm)</t>
    <phoneticPr fontId="3" type="noConversion"/>
  </si>
  <si>
    <t>Cs 기준</t>
    <phoneticPr fontId="3" type="noConversion"/>
  </si>
  <si>
    <t>Cp 기준</t>
    <phoneticPr fontId="3" type="noConversion"/>
  </si>
  <si>
    <t>구분</t>
    <phoneticPr fontId="3" type="noConversion"/>
  </si>
  <si>
    <t>두께 (m)</t>
    <phoneticPr fontId="3" type="noConversion"/>
  </si>
  <si>
    <t>전극 반지름(m)</t>
    <phoneticPr fontId="3" type="noConversion"/>
  </si>
  <si>
    <t>원주율</t>
    <phoneticPr fontId="3" type="noConversion"/>
  </si>
  <si>
    <t>Capacitance(F)_measured</t>
    <phoneticPr fontId="3" type="noConversion"/>
  </si>
  <si>
    <t>진공 유전율(F/m)</t>
    <phoneticPr fontId="3" type="noConversion"/>
  </si>
  <si>
    <t>유전율 (F/m)</t>
    <phoneticPr fontId="3" type="noConversion"/>
  </si>
  <si>
    <r>
      <t>유전상수(</t>
    </r>
    <r>
      <rPr>
        <b/>
        <sz val="11"/>
        <color theme="1"/>
        <rFont val="Calibri"/>
        <family val="3"/>
        <charset val="161"/>
      </rPr>
      <t>ε</t>
    </r>
    <r>
      <rPr>
        <b/>
        <vertAlign val="subscript"/>
        <sz val="11"/>
        <color theme="1"/>
        <rFont val="맑은 고딕"/>
        <family val="3"/>
        <charset val="129"/>
        <scheme val="minor"/>
      </rPr>
      <t>r</t>
    </r>
    <r>
      <rPr>
        <b/>
        <sz val="11"/>
        <color theme="1"/>
        <rFont val="맑은 고딕"/>
        <family val="3"/>
        <charset val="129"/>
        <scheme val="minor"/>
      </rPr>
      <t>)</t>
    </r>
    <phoneticPr fontId="3" type="noConversion"/>
  </si>
  <si>
    <t>#1</t>
    <phoneticPr fontId="3" type="noConversion"/>
  </si>
  <si>
    <t>Cs'</t>
    <phoneticPr fontId="3" type="noConversion"/>
  </si>
  <si>
    <t>Cp'</t>
    <phoneticPr fontId="3" type="noConversion"/>
  </si>
  <si>
    <t>평균</t>
    <phoneticPr fontId="3" type="noConversion"/>
  </si>
  <si>
    <t>#2</t>
  </si>
  <si>
    <t>#3</t>
  </si>
  <si>
    <t>전극 타입</t>
    <phoneticPr fontId="3" type="noConversion"/>
  </si>
  <si>
    <t>지름(mm)</t>
    <phoneticPr fontId="3" type="noConversion"/>
  </si>
  <si>
    <t>Electrode-A</t>
    <phoneticPr fontId="3" type="noConversion"/>
  </si>
  <si>
    <t>#4</t>
  </si>
  <si>
    <t>Electrode-B</t>
    <phoneticPr fontId="3" type="noConversion"/>
  </si>
  <si>
    <t>#5</t>
  </si>
  <si>
    <t>두께(m)</t>
    <phoneticPr fontId="3" type="noConversion"/>
  </si>
  <si>
    <t>주파수(㎐)</t>
    <phoneticPr fontId="3" type="noConversion"/>
  </si>
  <si>
    <t>Resistance(Ω)</t>
    <phoneticPr fontId="3" type="noConversion"/>
  </si>
  <si>
    <t>Dissipation factor</t>
    <phoneticPr fontId="3" type="noConversion"/>
  </si>
  <si>
    <t>Capacitance(F)_Loss tangent</t>
    <phoneticPr fontId="3" type="noConversion"/>
  </si>
  <si>
    <t>유전율(F/m)</t>
    <phoneticPr fontId="3" type="noConversion"/>
  </si>
  <si>
    <t>Rs</t>
    <phoneticPr fontId="3" type="noConversion"/>
  </si>
  <si>
    <t>Cs</t>
    <phoneticPr fontId="3" type="noConversion"/>
  </si>
  <si>
    <t>Rp</t>
    <phoneticPr fontId="3" type="noConversion"/>
  </si>
  <si>
    <t>Cp</t>
    <phoneticPr fontId="3" type="noConversion"/>
  </si>
  <si>
    <t>정전 용량</t>
    <phoneticPr fontId="3" type="noConversion"/>
  </si>
  <si>
    <t>단위 선택</t>
    <phoneticPr fontId="3" type="noConversion"/>
  </si>
  <si>
    <t>단위 적용</t>
    <phoneticPr fontId="3" type="noConversion"/>
  </si>
  <si>
    <t>p (pico)</t>
    <phoneticPr fontId="3" type="noConversion"/>
  </si>
  <si>
    <t>n (nano)</t>
    <phoneticPr fontId="3" type="noConversion"/>
  </si>
  <si>
    <t>m (milli)</t>
    <phoneticPr fontId="3" type="noConversion"/>
  </si>
  <si>
    <t>k(kilo)</t>
    <phoneticPr fontId="3" type="noConversion"/>
  </si>
  <si>
    <t>M (mega)</t>
    <phoneticPr fontId="3" type="noConversion"/>
  </si>
  <si>
    <t>G (giga)</t>
    <phoneticPr fontId="3" type="noConversion"/>
  </si>
  <si>
    <t>T (tera)</t>
    <phoneticPr fontId="3" type="noConversion"/>
  </si>
  <si>
    <r>
      <rPr>
        <b/>
        <sz val="11"/>
        <color theme="1"/>
        <rFont val="Calibri"/>
        <family val="2"/>
        <charset val="161"/>
      </rPr>
      <t>μ</t>
    </r>
    <r>
      <rPr>
        <b/>
        <sz val="11"/>
        <color theme="1"/>
        <rFont val="맑은 고딕"/>
        <family val="2"/>
        <charset val="129"/>
        <scheme val="minor"/>
      </rPr>
      <t xml:space="preserve"> (micro)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</si>
</sst>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Calibri"/>
      <family val="2"/>
      <charset val="161"/>
    </font>
    <font>
      <b/>
      <sz val="11"/>
      <color theme="1"/>
      <name val="Calibri"/>
      <family val="3"/>
      <charset val="161"/>
    </font>
    <font>
      <b/>
      <sz val="11"/>
      <color rgb="FFFF0000"/>
      <name val="맑은 고딕"/>
      <family val="3"/>
      <charset val="129"/>
      <scheme val="minor"/>
    </font>
    <font>
      <b/>
      <vertAlign val="subscript"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61"/>
      <scheme val="minor"/>
    </font>
    <font>
      <b/>
      <sz val="11"/>
      <color theme="1"/>
      <name val="Calibri"/>
      <family val="2"/>
      <charset val="16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3" borderId="4" xfId="0" applyFill="1" applyBorder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4" fillId="2" borderId="5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6" fontId="7" fillId="0" borderId="9" xfId="0" applyNumberFormat="1" applyFont="1" applyBorder="1" applyAlignment="1">
      <alignment horizontal="center" vertical="center"/>
    </xf>
    <xf numFmtId="2" fontId="0" fillId="0" borderId="9" xfId="0" applyNumberFormat="1" applyBorder="1">
      <alignment vertical="center"/>
    </xf>
    <xf numFmtId="2" fontId="0" fillId="0" borderId="10" xfId="0" applyNumberFormat="1" applyBorder="1">
      <alignment vertical="center"/>
    </xf>
    <xf numFmtId="0" fontId="0" fillId="3" borderId="11" xfId="0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77" fontId="7" fillId="0" borderId="7" xfId="0" applyNumberFormat="1" applyFont="1" applyBorder="1" applyAlignment="1">
      <alignment horizontal="center" vertical="center"/>
    </xf>
    <xf numFmtId="11" fontId="9" fillId="0" borderId="6" xfId="0" applyNumberFormat="1" applyFont="1" applyBorder="1" applyAlignment="1">
      <alignment horizontal="center" vertical="center"/>
    </xf>
    <xf numFmtId="11" fontId="10" fillId="0" borderId="6" xfId="0" applyNumberFormat="1" applyFont="1" applyBorder="1" applyAlignment="1">
      <alignment horizontal="center" vertical="center"/>
    </xf>
    <xf numFmtId="11" fontId="0" fillId="0" borderId="7" xfId="0" applyNumberFormat="1" applyBorder="1" applyAlignment="1">
      <alignment horizontal="center" vertical="center"/>
    </xf>
    <xf numFmtId="2" fontId="0" fillId="0" borderId="7" xfId="0" applyNumberFormat="1" applyBorder="1">
      <alignment vertical="center"/>
    </xf>
    <xf numFmtId="0" fontId="4" fillId="2" borderId="8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11" fontId="9" fillId="0" borderId="9" xfId="0" applyNumberFormat="1" applyFont="1" applyBorder="1" applyAlignment="1">
      <alignment horizontal="center" vertical="center"/>
    </xf>
    <xf numFmtId="11" fontId="10" fillId="0" borderId="9" xfId="0" applyNumberFormat="1" applyFont="1" applyBorder="1" applyAlignment="1">
      <alignment horizontal="center" vertical="center"/>
    </xf>
    <xf numFmtId="11" fontId="0" fillId="0" borderId="10" xfId="0" applyNumberForma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1" fontId="7" fillId="0" borderId="6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1" fontId="7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9" fillId="0" borderId="9" xfId="0" applyNumberFormat="1" applyFont="1" applyBorder="1" applyAlignment="1">
      <alignment horizontal="center" vertical="center"/>
    </xf>
    <xf numFmtId="2" fontId="0" fillId="3" borderId="0" xfId="0" applyNumberFormat="1" applyFill="1">
      <alignment vertical="center"/>
    </xf>
    <xf numFmtId="0" fontId="4" fillId="3" borderId="0" xfId="0" applyFont="1" applyFill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0" fontId="11" fillId="0" borderId="6" xfId="0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4" fillId="2" borderId="6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1" fontId="0" fillId="0" borderId="7" xfId="0" applyNumberFormat="1" applyBorder="1" applyAlignment="1">
      <alignment horizontal="center" vertical="center"/>
    </xf>
    <xf numFmtId="11" fontId="0" fillId="0" borderId="10" xfId="0" applyNumberForma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41" fontId="7" fillId="0" borderId="16" xfId="1" applyFont="1" applyFill="1" applyBorder="1" applyAlignment="1">
      <alignment horizontal="center" vertical="center"/>
    </xf>
    <xf numFmtId="41" fontId="7" fillId="0" borderId="17" xfId="1" applyFont="1" applyFill="1" applyBorder="1" applyAlignment="1">
      <alignment horizontal="center" vertical="center"/>
    </xf>
    <xf numFmtId="41" fontId="7" fillId="0" borderId="18" xfId="1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1" fontId="0" fillId="0" borderId="6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1</xdr:row>
      <xdr:rowOff>78440</xdr:rowOff>
    </xdr:from>
    <xdr:to>
      <xdr:col>8</xdr:col>
      <xdr:colOff>44823</xdr:colOff>
      <xdr:row>3</xdr:row>
      <xdr:rowOff>190499</xdr:rowOff>
    </xdr:to>
    <xdr:sp macro="[0]!초기화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FC2B374-9BA4-4107-A5AB-13077C441BC7}"/>
            </a:ext>
          </a:extLst>
        </xdr:cNvPr>
        <xdr:cNvSpPr/>
      </xdr:nvSpPr>
      <xdr:spPr>
        <a:xfrm>
          <a:off x="7067550" y="268940"/>
          <a:ext cx="1044948" cy="531159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bg1"/>
              </a:solidFill>
            </a:rPr>
            <a:t>초기화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16</xdr:col>
      <xdr:colOff>0</xdr:colOff>
      <xdr:row>3</xdr:row>
      <xdr:rowOff>0</xdr:rowOff>
    </xdr:to>
    <xdr:sp macro="[0]!단위변환_피코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657ED38-58C0-4550-946C-72BA7C15F7C6}"/>
            </a:ext>
          </a:extLst>
        </xdr:cNvPr>
        <xdr:cNvSpPr/>
      </xdr:nvSpPr>
      <xdr:spPr>
        <a:xfrm>
          <a:off x="2886075" y="628650"/>
          <a:ext cx="685800" cy="209550"/>
        </a:xfrm>
        <a:prstGeom prst="roundRect">
          <a:avLst/>
        </a:prstGeom>
        <a:solidFill>
          <a:schemeClr val="accent4"/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0"/>
            <a:t>p</a:t>
          </a:r>
          <a:r>
            <a:rPr lang="en-US" altLang="ko-KR" sz="1000" b="0" baseline="0"/>
            <a:t> </a:t>
          </a:r>
          <a:r>
            <a:rPr lang="ko-KR" altLang="en-US" sz="1000" b="0" baseline="0"/>
            <a:t>환산</a:t>
          </a:r>
          <a:endParaRPr lang="ko-KR" altLang="en-US" sz="1000" b="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단위변환_나노" textlink="">
      <xdr:nvSpPr>
        <xdr:cNvPr id="20" name="사각형: 둥근 모서리 19">
          <a:extLst>
            <a:ext uri="{FF2B5EF4-FFF2-40B4-BE49-F238E27FC236}">
              <a16:creationId xmlns:a16="http://schemas.microsoft.com/office/drawing/2014/main" id="{49818366-915B-45AF-8AEC-44FF76F76D60}"/>
            </a:ext>
          </a:extLst>
        </xdr:cNvPr>
        <xdr:cNvSpPr/>
      </xdr:nvSpPr>
      <xdr:spPr>
        <a:xfrm>
          <a:off x="2886075" y="838200"/>
          <a:ext cx="685800" cy="20955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aseline="0"/>
            <a:t>n </a:t>
          </a:r>
          <a:r>
            <a:rPr lang="ko-KR" altLang="en-US" sz="1000" baseline="0"/>
            <a:t>환산</a:t>
          </a:r>
          <a:endParaRPr lang="ko-KR" altLang="en-US" sz="1000"/>
        </a:p>
      </xdr:txBody>
    </xdr:sp>
    <xdr:clientData/>
  </xdr:twoCellAnchor>
  <xdr:twoCellAnchor>
    <xdr:from>
      <xdr:col>15</xdr:col>
      <xdr:colOff>0</xdr:colOff>
      <xdr:row>4</xdr:row>
      <xdr:rowOff>0</xdr:rowOff>
    </xdr:from>
    <xdr:to>
      <xdr:col>16</xdr:col>
      <xdr:colOff>0</xdr:colOff>
      <xdr:row>5</xdr:row>
      <xdr:rowOff>0</xdr:rowOff>
    </xdr:to>
    <xdr:sp macro="[0]!단위변환_마이크로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EAF5A583-1D94-4F73-AE8E-728097476D9E}"/>
            </a:ext>
          </a:extLst>
        </xdr:cNvPr>
        <xdr:cNvSpPr/>
      </xdr:nvSpPr>
      <xdr:spPr>
        <a:xfrm>
          <a:off x="2886075" y="1047750"/>
          <a:ext cx="685800" cy="209550"/>
        </a:xfrm>
        <a:prstGeom prst="roundRect">
          <a:avLst/>
        </a:prstGeom>
        <a:solidFill>
          <a:schemeClr val="accent4"/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l-GR" altLang="ko-KR" sz="1000">
              <a:solidFill>
                <a:schemeClr val="lt1"/>
              </a:solidFill>
              <a:latin typeface="+mn-lt"/>
              <a:ea typeface="+mn-ea"/>
              <a:cs typeface="+mn-cs"/>
            </a:rPr>
            <a:t>μ</a:t>
          </a:r>
          <a:r>
            <a:rPr lang="en-US" altLang="ko-KR" sz="10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ko-KR" alt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환산</a:t>
          </a:r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16</xdr:col>
      <xdr:colOff>0</xdr:colOff>
      <xdr:row>5</xdr:row>
      <xdr:rowOff>207818</xdr:rowOff>
    </xdr:to>
    <xdr:sp macro="[0]!단위변환_밀리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DEAA3E6A-B528-4C91-BA9C-0C43D1D12C18}"/>
            </a:ext>
          </a:extLst>
        </xdr:cNvPr>
        <xdr:cNvSpPr/>
      </xdr:nvSpPr>
      <xdr:spPr>
        <a:xfrm>
          <a:off x="2886075" y="1257300"/>
          <a:ext cx="685800" cy="207818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m </a:t>
          </a:r>
          <a:r>
            <a:rPr lang="ko-KR" alt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환산</a:t>
          </a:r>
        </a:p>
      </xdr:txBody>
    </xdr:sp>
    <xdr:clientData/>
  </xdr:twoCellAnchor>
  <xdr:twoCellAnchor>
    <xdr:from>
      <xdr:col>15</xdr:col>
      <xdr:colOff>0</xdr:colOff>
      <xdr:row>5</xdr:row>
      <xdr:rowOff>207818</xdr:rowOff>
    </xdr:from>
    <xdr:to>
      <xdr:col>16</xdr:col>
      <xdr:colOff>0</xdr:colOff>
      <xdr:row>6</xdr:row>
      <xdr:rowOff>207818</xdr:rowOff>
    </xdr:to>
    <xdr:sp macro="[0]!단위변환_킬로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B8A6DCB7-6CEE-442F-A8F1-75D970B6708A}"/>
            </a:ext>
          </a:extLst>
        </xdr:cNvPr>
        <xdr:cNvSpPr/>
      </xdr:nvSpPr>
      <xdr:spPr>
        <a:xfrm>
          <a:off x="2886075" y="1465118"/>
          <a:ext cx="685800" cy="209550"/>
        </a:xfrm>
        <a:prstGeom prst="roundRect">
          <a:avLst/>
        </a:prstGeom>
        <a:solidFill>
          <a:schemeClr val="accent4"/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000">
              <a:solidFill>
                <a:schemeClr val="lt1"/>
              </a:solidFill>
              <a:latin typeface="+mn-lt"/>
              <a:ea typeface="+mn-ea"/>
              <a:cs typeface="+mn-cs"/>
            </a:rPr>
            <a:t>k </a:t>
          </a:r>
          <a:r>
            <a:rPr lang="ko-KR" alt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환산</a:t>
          </a:r>
        </a:p>
      </xdr:txBody>
    </xdr:sp>
    <xdr:clientData/>
  </xdr:twoCellAnchor>
  <xdr:twoCellAnchor>
    <xdr:from>
      <xdr:col>15</xdr:col>
      <xdr:colOff>0</xdr:colOff>
      <xdr:row>6</xdr:row>
      <xdr:rowOff>207818</xdr:rowOff>
    </xdr:from>
    <xdr:to>
      <xdr:col>16</xdr:col>
      <xdr:colOff>0</xdr:colOff>
      <xdr:row>7</xdr:row>
      <xdr:rowOff>207818</xdr:rowOff>
    </xdr:to>
    <xdr:sp macro="[0]!단위변환_메가" textlink="">
      <xdr:nvSpPr>
        <xdr:cNvPr id="24" name="사각형: 둥근 모서리 23">
          <a:extLst>
            <a:ext uri="{FF2B5EF4-FFF2-40B4-BE49-F238E27FC236}">
              <a16:creationId xmlns:a16="http://schemas.microsoft.com/office/drawing/2014/main" id="{A24BFEDE-EB21-402C-B712-BEFE58E93AC2}"/>
            </a:ext>
          </a:extLst>
        </xdr:cNvPr>
        <xdr:cNvSpPr/>
      </xdr:nvSpPr>
      <xdr:spPr>
        <a:xfrm>
          <a:off x="2886075" y="1674668"/>
          <a:ext cx="685800" cy="20955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M </a:t>
          </a:r>
          <a:r>
            <a:rPr lang="ko-KR" alt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환산</a:t>
          </a: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16</xdr:col>
      <xdr:colOff>0</xdr:colOff>
      <xdr:row>9</xdr:row>
      <xdr:rowOff>0</xdr:rowOff>
    </xdr:to>
    <xdr:sp macro="[0]!단위변환_기가" textlink="">
      <xdr:nvSpPr>
        <xdr:cNvPr id="25" name="사각형: 둥근 모서리 24">
          <a:extLst>
            <a:ext uri="{FF2B5EF4-FFF2-40B4-BE49-F238E27FC236}">
              <a16:creationId xmlns:a16="http://schemas.microsoft.com/office/drawing/2014/main" id="{D822E82F-C344-4E44-B387-4BB230C6E56F}"/>
            </a:ext>
          </a:extLst>
        </xdr:cNvPr>
        <xdr:cNvSpPr/>
      </xdr:nvSpPr>
      <xdr:spPr>
        <a:xfrm>
          <a:off x="2886075" y="1885950"/>
          <a:ext cx="685800" cy="209550"/>
        </a:xfrm>
        <a:prstGeom prst="roundRect">
          <a:avLst/>
        </a:prstGeom>
        <a:solidFill>
          <a:schemeClr val="accent4"/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000">
              <a:solidFill>
                <a:schemeClr val="lt1"/>
              </a:solidFill>
              <a:latin typeface="+mn-lt"/>
              <a:ea typeface="+mn-ea"/>
              <a:cs typeface="+mn-cs"/>
            </a:rPr>
            <a:t>G </a:t>
          </a:r>
          <a:r>
            <a:rPr lang="ko-KR" alt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환산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16</xdr:col>
      <xdr:colOff>0</xdr:colOff>
      <xdr:row>10</xdr:row>
      <xdr:rowOff>0</xdr:rowOff>
    </xdr:to>
    <xdr:sp macro="[0]!단위변환_테라" textlink="">
      <xdr:nvSpPr>
        <xdr:cNvPr id="26" name="사각형: 둥근 모서리 25">
          <a:extLst>
            <a:ext uri="{FF2B5EF4-FFF2-40B4-BE49-F238E27FC236}">
              <a16:creationId xmlns:a16="http://schemas.microsoft.com/office/drawing/2014/main" id="{D0193B6D-C575-4F39-8753-67EE56F394C8}"/>
            </a:ext>
          </a:extLst>
        </xdr:cNvPr>
        <xdr:cNvSpPr/>
      </xdr:nvSpPr>
      <xdr:spPr>
        <a:xfrm>
          <a:off x="2886075" y="2095500"/>
          <a:ext cx="685800" cy="209550"/>
        </a:xfrm>
        <a:prstGeom prst="roundRect">
          <a:avLst/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T </a:t>
          </a:r>
          <a:r>
            <a:rPr lang="ko-KR" alt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환산</a:t>
          </a:r>
        </a:p>
      </xdr:txBody>
    </xdr:sp>
    <xdr:clientData/>
  </xdr:twoCellAnchor>
  <xdr:twoCellAnchor>
    <xdr:from>
      <xdr:col>6</xdr:col>
      <xdr:colOff>282466</xdr:colOff>
      <xdr:row>17</xdr:row>
      <xdr:rowOff>203638</xdr:rowOff>
    </xdr:from>
    <xdr:to>
      <xdr:col>7</xdr:col>
      <xdr:colOff>0</xdr:colOff>
      <xdr:row>19</xdr:row>
      <xdr:rowOff>0</xdr:rowOff>
    </xdr:to>
    <xdr:sp macro="[0]!값가져오기Rs1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F8D6A8CE-A99C-4DED-ACA5-C0D5AAEFDF2A}"/>
            </a:ext>
          </a:extLst>
        </xdr:cNvPr>
        <xdr:cNvSpPr/>
      </xdr:nvSpPr>
      <xdr:spPr>
        <a:xfrm>
          <a:off x="5958052" y="3757448"/>
          <a:ext cx="906517" cy="216776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19</xdr:row>
      <xdr:rowOff>0</xdr:rowOff>
    </xdr:from>
    <xdr:to>
      <xdr:col>7</xdr:col>
      <xdr:colOff>0</xdr:colOff>
      <xdr:row>20</xdr:row>
      <xdr:rowOff>3428</xdr:rowOff>
    </xdr:to>
    <xdr:sp macro="[0]!값가져오기Rp1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A0A8BDC5-4B63-4E82-8851-07493DF1D517}"/>
            </a:ext>
          </a:extLst>
        </xdr:cNvPr>
        <xdr:cNvSpPr/>
      </xdr:nvSpPr>
      <xdr:spPr>
        <a:xfrm>
          <a:off x="5980901" y="3917674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19</xdr:row>
      <xdr:rowOff>203637</xdr:rowOff>
    </xdr:from>
    <xdr:to>
      <xdr:col>7</xdr:col>
      <xdr:colOff>0</xdr:colOff>
      <xdr:row>21</xdr:row>
      <xdr:rowOff>0</xdr:rowOff>
    </xdr:to>
    <xdr:sp macro="[0]!값가져오기Rs2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52266645-0B64-479A-ACA8-E3C0E00F6C8A}"/>
            </a:ext>
          </a:extLst>
        </xdr:cNvPr>
        <xdr:cNvSpPr/>
      </xdr:nvSpPr>
      <xdr:spPr>
        <a:xfrm>
          <a:off x="5980901" y="4121311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21</xdr:row>
      <xdr:rowOff>0</xdr:rowOff>
    </xdr:from>
    <xdr:to>
      <xdr:col>7</xdr:col>
      <xdr:colOff>0</xdr:colOff>
      <xdr:row>22</xdr:row>
      <xdr:rowOff>3427</xdr:rowOff>
    </xdr:to>
    <xdr:sp macro="[0]!값가져오기Rp2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AEEE2F50-BA6B-49C3-8DA7-61CA31FC8D11}"/>
            </a:ext>
          </a:extLst>
        </xdr:cNvPr>
        <xdr:cNvSpPr/>
      </xdr:nvSpPr>
      <xdr:spPr>
        <a:xfrm>
          <a:off x="5980901" y="4331804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21</xdr:row>
      <xdr:rowOff>203638</xdr:rowOff>
    </xdr:from>
    <xdr:to>
      <xdr:col>7</xdr:col>
      <xdr:colOff>0</xdr:colOff>
      <xdr:row>23</xdr:row>
      <xdr:rowOff>0</xdr:rowOff>
    </xdr:to>
    <xdr:sp macro="[0]!값가져오기Rs3" textlink="">
      <xdr:nvSpPr>
        <xdr:cNvPr id="17" name="사각형: 둥근 모서리 16">
          <a:extLst>
            <a:ext uri="{FF2B5EF4-FFF2-40B4-BE49-F238E27FC236}">
              <a16:creationId xmlns:a16="http://schemas.microsoft.com/office/drawing/2014/main" id="{265E0F54-409D-4EFF-A7DD-4248001DB270}"/>
            </a:ext>
          </a:extLst>
        </xdr:cNvPr>
        <xdr:cNvSpPr/>
      </xdr:nvSpPr>
      <xdr:spPr>
        <a:xfrm>
          <a:off x="5980901" y="4535442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23</xdr:row>
      <xdr:rowOff>0</xdr:rowOff>
    </xdr:from>
    <xdr:to>
      <xdr:col>7</xdr:col>
      <xdr:colOff>0</xdr:colOff>
      <xdr:row>24</xdr:row>
      <xdr:rowOff>3428</xdr:rowOff>
    </xdr:to>
    <xdr:sp macro="[0]!값가져오기Rp3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2178E30B-B3D1-442D-8D19-5FE8D8E39444}"/>
            </a:ext>
          </a:extLst>
        </xdr:cNvPr>
        <xdr:cNvSpPr/>
      </xdr:nvSpPr>
      <xdr:spPr>
        <a:xfrm>
          <a:off x="5980901" y="4745935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23</xdr:row>
      <xdr:rowOff>200209</xdr:rowOff>
    </xdr:from>
    <xdr:to>
      <xdr:col>7</xdr:col>
      <xdr:colOff>0</xdr:colOff>
      <xdr:row>24</xdr:row>
      <xdr:rowOff>203637</xdr:rowOff>
    </xdr:to>
    <xdr:sp macro="[0]!값가져오기Rs4" textlink="">
      <xdr:nvSpPr>
        <xdr:cNvPr id="27" name="사각형: 둥근 모서리 26">
          <a:extLst>
            <a:ext uri="{FF2B5EF4-FFF2-40B4-BE49-F238E27FC236}">
              <a16:creationId xmlns:a16="http://schemas.microsoft.com/office/drawing/2014/main" id="{E7A8F3D4-2904-4DD3-BD56-9F605EAA2A3E}"/>
            </a:ext>
          </a:extLst>
        </xdr:cNvPr>
        <xdr:cNvSpPr/>
      </xdr:nvSpPr>
      <xdr:spPr>
        <a:xfrm>
          <a:off x="5980901" y="4946144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24</xdr:row>
      <xdr:rowOff>203637</xdr:rowOff>
    </xdr:from>
    <xdr:to>
      <xdr:col>7</xdr:col>
      <xdr:colOff>0</xdr:colOff>
      <xdr:row>26</xdr:row>
      <xdr:rowOff>0</xdr:rowOff>
    </xdr:to>
    <xdr:sp macro="[0]!값가져오기Rp4" textlink="">
      <xdr:nvSpPr>
        <xdr:cNvPr id="28" name="사각형: 둥근 모서리 27">
          <a:extLst>
            <a:ext uri="{FF2B5EF4-FFF2-40B4-BE49-F238E27FC236}">
              <a16:creationId xmlns:a16="http://schemas.microsoft.com/office/drawing/2014/main" id="{80DC6747-EBA0-4592-9BF8-AFC33A0787DD}"/>
            </a:ext>
          </a:extLst>
        </xdr:cNvPr>
        <xdr:cNvSpPr/>
      </xdr:nvSpPr>
      <xdr:spPr>
        <a:xfrm>
          <a:off x="5980901" y="5156637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26</xdr:row>
      <xdr:rowOff>1427</xdr:rowOff>
    </xdr:from>
    <xdr:to>
      <xdr:col>7</xdr:col>
      <xdr:colOff>0</xdr:colOff>
      <xdr:row>27</xdr:row>
      <xdr:rowOff>4854</xdr:rowOff>
    </xdr:to>
    <xdr:sp macro="[0]!값가져오기Rs5" textlink="">
      <xdr:nvSpPr>
        <xdr:cNvPr id="29" name="사각형: 둥근 모서리 28">
          <a:extLst>
            <a:ext uri="{FF2B5EF4-FFF2-40B4-BE49-F238E27FC236}">
              <a16:creationId xmlns:a16="http://schemas.microsoft.com/office/drawing/2014/main" id="{2B897C23-4FB7-4693-ACC8-3BC105D5E194}"/>
            </a:ext>
          </a:extLst>
        </xdr:cNvPr>
        <xdr:cNvSpPr/>
      </xdr:nvSpPr>
      <xdr:spPr>
        <a:xfrm>
          <a:off x="5980901" y="5368557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6</xdr:col>
      <xdr:colOff>282466</xdr:colOff>
      <xdr:row>27</xdr:row>
      <xdr:rowOff>4854</xdr:rowOff>
    </xdr:from>
    <xdr:to>
      <xdr:col>7</xdr:col>
      <xdr:colOff>0</xdr:colOff>
      <xdr:row>27</xdr:row>
      <xdr:rowOff>215347</xdr:rowOff>
    </xdr:to>
    <xdr:sp macro="[0]!값가져오기Rp5" textlink="">
      <xdr:nvSpPr>
        <xdr:cNvPr id="30" name="사각형: 둥근 모서리 29">
          <a:extLst>
            <a:ext uri="{FF2B5EF4-FFF2-40B4-BE49-F238E27FC236}">
              <a16:creationId xmlns:a16="http://schemas.microsoft.com/office/drawing/2014/main" id="{5AA0E006-7DC2-4D9E-AA48-A37854711B11}"/>
            </a:ext>
          </a:extLst>
        </xdr:cNvPr>
        <xdr:cNvSpPr/>
      </xdr:nvSpPr>
      <xdr:spPr>
        <a:xfrm>
          <a:off x="5980901" y="5579050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17</xdr:row>
      <xdr:rowOff>203638</xdr:rowOff>
    </xdr:from>
    <xdr:to>
      <xdr:col>9</xdr:col>
      <xdr:colOff>0</xdr:colOff>
      <xdr:row>19</xdr:row>
      <xdr:rowOff>0</xdr:rowOff>
    </xdr:to>
    <xdr:sp macro="[0]!값가져오기Cs1" textlink="">
      <xdr:nvSpPr>
        <xdr:cNvPr id="31" name="사각형: 둥근 모서리 30">
          <a:extLst>
            <a:ext uri="{FF2B5EF4-FFF2-40B4-BE49-F238E27FC236}">
              <a16:creationId xmlns:a16="http://schemas.microsoft.com/office/drawing/2014/main" id="{DFDAD3D9-F84C-4CB5-890F-0D498A3578E8}"/>
            </a:ext>
          </a:extLst>
        </xdr:cNvPr>
        <xdr:cNvSpPr/>
      </xdr:nvSpPr>
      <xdr:spPr>
        <a:xfrm>
          <a:off x="8366293" y="3707181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19</xdr:row>
      <xdr:rowOff>0</xdr:rowOff>
    </xdr:from>
    <xdr:to>
      <xdr:col>9</xdr:col>
      <xdr:colOff>0</xdr:colOff>
      <xdr:row>20</xdr:row>
      <xdr:rowOff>3428</xdr:rowOff>
    </xdr:to>
    <xdr:sp macro="[0]!값가져오기Cp1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2961C7F6-74EE-4ED7-8B00-9934DF61BF4D}"/>
            </a:ext>
          </a:extLst>
        </xdr:cNvPr>
        <xdr:cNvSpPr/>
      </xdr:nvSpPr>
      <xdr:spPr>
        <a:xfrm>
          <a:off x="8366293" y="3917674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19</xdr:row>
      <xdr:rowOff>203637</xdr:rowOff>
    </xdr:from>
    <xdr:to>
      <xdr:col>9</xdr:col>
      <xdr:colOff>0</xdr:colOff>
      <xdr:row>21</xdr:row>
      <xdr:rowOff>0</xdr:rowOff>
    </xdr:to>
    <xdr:sp macro="[0]!값가져오기Cs2" textlink="">
      <xdr:nvSpPr>
        <xdr:cNvPr id="33" name="사각형: 둥근 모서리 32">
          <a:extLst>
            <a:ext uri="{FF2B5EF4-FFF2-40B4-BE49-F238E27FC236}">
              <a16:creationId xmlns:a16="http://schemas.microsoft.com/office/drawing/2014/main" id="{AA0D129E-9509-4E03-AE3D-4886EFC1AE16}"/>
            </a:ext>
          </a:extLst>
        </xdr:cNvPr>
        <xdr:cNvSpPr/>
      </xdr:nvSpPr>
      <xdr:spPr>
        <a:xfrm>
          <a:off x="8366293" y="4121311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21</xdr:row>
      <xdr:rowOff>0</xdr:rowOff>
    </xdr:from>
    <xdr:to>
      <xdr:col>9</xdr:col>
      <xdr:colOff>0</xdr:colOff>
      <xdr:row>22</xdr:row>
      <xdr:rowOff>3427</xdr:rowOff>
    </xdr:to>
    <xdr:sp macro="[0]!값가져오기Cp2" textlink="">
      <xdr:nvSpPr>
        <xdr:cNvPr id="34" name="사각형: 둥근 모서리 33">
          <a:extLst>
            <a:ext uri="{FF2B5EF4-FFF2-40B4-BE49-F238E27FC236}">
              <a16:creationId xmlns:a16="http://schemas.microsoft.com/office/drawing/2014/main" id="{63B20173-9F6D-4692-9336-DFB920E53BB4}"/>
            </a:ext>
          </a:extLst>
        </xdr:cNvPr>
        <xdr:cNvSpPr/>
      </xdr:nvSpPr>
      <xdr:spPr>
        <a:xfrm>
          <a:off x="8366293" y="4331804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21</xdr:row>
      <xdr:rowOff>203638</xdr:rowOff>
    </xdr:from>
    <xdr:to>
      <xdr:col>9</xdr:col>
      <xdr:colOff>0</xdr:colOff>
      <xdr:row>23</xdr:row>
      <xdr:rowOff>0</xdr:rowOff>
    </xdr:to>
    <xdr:sp macro="[0]!값가져오기Cs3" textlink="">
      <xdr:nvSpPr>
        <xdr:cNvPr id="35" name="사각형: 둥근 모서리 34">
          <a:extLst>
            <a:ext uri="{FF2B5EF4-FFF2-40B4-BE49-F238E27FC236}">
              <a16:creationId xmlns:a16="http://schemas.microsoft.com/office/drawing/2014/main" id="{82944EC0-0F26-4139-A968-1917333E6748}"/>
            </a:ext>
          </a:extLst>
        </xdr:cNvPr>
        <xdr:cNvSpPr/>
      </xdr:nvSpPr>
      <xdr:spPr>
        <a:xfrm>
          <a:off x="8366293" y="4535442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23</xdr:row>
      <xdr:rowOff>0</xdr:rowOff>
    </xdr:from>
    <xdr:to>
      <xdr:col>9</xdr:col>
      <xdr:colOff>0</xdr:colOff>
      <xdr:row>24</xdr:row>
      <xdr:rowOff>3428</xdr:rowOff>
    </xdr:to>
    <xdr:sp macro="[0]!값가져오기Cp3" textlink="">
      <xdr:nvSpPr>
        <xdr:cNvPr id="36" name="사각형: 둥근 모서리 35">
          <a:extLst>
            <a:ext uri="{FF2B5EF4-FFF2-40B4-BE49-F238E27FC236}">
              <a16:creationId xmlns:a16="http://schemas.microsoft.com/office/drawing/2014/main" id="{942ED3C5-242C-4830-B8AF-8F441A06E312}"/>
            </a:ext>
          </a:extLst>
        </xdr:cNvPr>
        <xdr:cNvSpPr/>
      </xdr:nvSpPr>
      <xdr:spPr>
        <a:xfrm>
          <a:off x="8366293" y="4745935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23</xdr:row>
      <xdr:rowOff>200209</xdr:rowOff>
    </xdr:from>
    <xdr:to>
      <xdr:col>9</xdr:col>
      <xdr:colOff>0</xdr:colOff>
      <xdr:row>24</xdr:row>
      <xdr:rowOff>203637</xdr:rowOff>
    </xdr:to>
    <xdr:sp macro="[0]!값가져오기Cs4" textlink="">
      <xdr:nvSpPr>
        <xdr:cNvPr id="37" name="사각형: 둥근 모서리 36">
          <a:extLst>
            <a:ext uri="{FF2B5EF4-FFF2-40B4-BE49-F238E27FC236}">
              <a16:creationId xmlns:a16="http://schemas.microsoft.com/office/drawing/2014/main" id="{01455375-4820-42D6-BA91-EED8D1F1DD39}"/>
            </a:ext>
          </a:extLst>
        </xdr:cNvPr>
        <xdr:cNvSpPr/>
      </xdr:nvSpPr>
      <xdr:spPr>
        <a:xfrm>
          <a:off x="8366293" y="4946144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24</xdr:row>
      <xdr:rowOff>203637</xdr:rowOff>
    </xdr:from>
    <xdr:to>
      <xdr:col>9</xdr:col>
      <xdr:colOff>0</xdr:colOff>
      <xdr:row>26</xdr:row>
      <xdr:rowOff>0</xdr:rowOff>
    </xdr:to>
    <xdr:sp macro="[0]!값가져오기Cp4" textlink="">
      <xdr:nvSpPr>
        <xdr:cNvPr id="38" name="사각형: 둥근 모서리 37">
          <a:extLst>
            <a:ext uri="{FF2B5EF4-FFF2-40B4-BE49-F238E27FC236}">
              <a16:creationId xmlns:a16="http://schemas.microsoft.com/office/drawing/2014/main" id="{02249B2B-DBFA-4E74-AB99-3BEEA58927EB}"/>
            </a:ext>
          </a:extLst>
        </xdr:cNvPr>
        <xdr:cNvSpPr/>
      </xdr:nvSpPr>
      <xdr:spPr>
        <a:xfrm>
          <a:off x="8366293" y="5156637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26</xdr:row>
      <xdr:rowOff>1427</xdr:rowOff>
    </xdr:from>
    <xdr:to>
      <xdr:col>9</xdr:col>
      <xdr:colOff>0</xdr:colOff>
      <xdr:row>27</xdr:row>
      <xdr:rowOff>4854</xdr:rowOff>
    </xdr:to>
    <xdr:sp macro="[0]!값가져오기Cs5" textlink="">
      <xdr:nvSpPr>
        <xdr:cNvPr id="39" name="사각형: 둥근 모서리 38">
          <a:extLst>
            <a:ext uri="{FF2B5EF4-FFF2-40B4-BE49-F238E27FC236}">
              <a16:creationId xmlns:a16="http://schemas.microsoft.com/office/drawing/2014/main" id="{42BC33A1-7A1D-4A54-BD54-E2A5827710E4}"/>
            </a:ext>
          </a:extLst>
        </xdr:cNvPr>
        <xdr:cNvSpPr/>
      </xdr:nvSpPr>
      <xdr:spPr>
        <a:xfrm>
          <a:off x="8366293" y="5368557"/>
          <a:ext cx="910229" cy="210493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  <xdr:twoCellAnchor>
    <xdr:from>
      <xdr:col>8</xdr:col>
      <xdr:colOff>282467</xdr:colOff>
      <xdr:row>27</xdr:row>
      <xdr:rowOff>4854</xdr:rowOff>
    </xdr:from>
    <xdr:to>
      <xdr:col>9</xdr:col>
      <xdr:colOff>0</xdr:colOff>
      <xdr:row>27</xdr:row>
      <xdr:rowOff>215347</xdr:rowOff>
    </xdr:to>
    <xdr:sp macro="[0]!값가져오기Cp5" textlink="">
      <xdr:nvSpPr>
        <xdr:cNvPr id="40" name="사각형: 둥근 모서리 39">
          <a:extLst>
            <a:ext uri="{FF2B5EF4-FFF2-40B4-BE49-F238E27FC236}">
              <a16:creationId xmlns:a16="http://schemas.microsoft.com/office/drawing/2014/main" id="{42F0AF50-A6EA-42B8-83E7-0D2582CCFD2B}"/>
            </a:ext>
          </a:extLst>
        </xdr:cNvPr>
        <xdr:cNvSpPr/>
      </xdr:nvSpPr>
      <xdr:spPr>
        <a:xfrm>
          <a:off x="8366293" y="5579050"/>
          <a:ext cx="910229" cy="21049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/>
            <a:t>값 가져오기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1312;&#54217;&#49437;%2024.10.21%20~\&#50629;&#52404;\&#54868;&#51064;&#49464;&#46972;&#53581;\&#50976;&#51204;&#50984;%20&#52769;&#51221;\2025-01-10\2025-01-10%20&#50976;&#51204;&#50984;%20&#52769;&#51221;%20(&#47588;&#53356;&#47196;%20&#54252;&#54632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취합"/>
      <sheetName val="35"/>
      <sheetName val="40"/>
      <sheetName val="45"/>
      <sheetName val="2025-01-10 유전율 측정 (매크로 포함)"/>
    </sheetNames>
    <sheetDataSet>
      <sheetData sheetId="0" refreshError="1"/>
      <sheetData sheetId="1">
        <row r="3">
          <cell r="Q3">
            <v>2.0230000000000001</v>
          </cell>
        </row>
        <row r="4">
          <cell r="C4">
            <v>1000000</v>
          </cell>
          <cell r="Q4">
            <v>2.02</v>
          </cell>
        </row>
        <row r="5">
          <cell r="Q5">
            <v>2.02</v>
          </cell>
        </row>
        <row r="6">
          <cell r="Q6">
            <v>2.024</v>
          </cell>
        </row>
        <row r="7">
          <cell r="Q7">
            <v>2.016</v>
          </cell>
        </row>
        <row r="19">
          <cell r="H19">
            <v>14535.7</v>
          </cell>
          <cell r="J19">
            <v>6.7859999999999996E-13</v>
          </cell>
        </row>
        <row r="20">
          <cell r="H20">
            <v>3798230</v>
          </cell>
          <cell r="J20">
            <v>6.7519999999999999E-13</v>
          </cell>
        </row>
        <row r="21">
          <cell r="H21">
            <v>14600.300000000001</v>
          </cell>
          <cell r="J21">
            <v>6.7689999999999997E-13</v>
          </cell>
        </row>
        <row r="22">
          <cell r="H22">
            <v>3803400</v>
          </cell>
          <cell r="J22">
            <v>6.7429999999999996E-13</v>
          </cell>
        </row>
        <row r="23">
          <cell r="H23">
            <v>14774.1</v>
          </cell>
          <cell r="J23">
            <v>6.6929999999999999E-13</v>
          </cell>
        </row>
        <row r="24">
          <cell r="H24">
            <v>3842190</v>
          </cell>
          <cell r="J24">
            <v>6.6669999999999998E-13</v>
          </cell>
        </row>
        <row r="25">
          <cell r="H25">
            <v>16495.7</v>
          </cell>
          <cell r="J25">
            <v>6.6479999999999995E-13</v>
          </cell>
        </row>
        <row r="26">
          <cell r="H26">
            <v>3495100</v>
          </cell>
          <cell r="J26">
            <v>6.616999999999999E-13</v>
          </cell>
        </row>
        <row r="27">
          <cell r="H27">
            <v>16363.399999999998</v>
          </cell>
          <cell r="J27">
            <v>6.6180000000000007E-13</v>
          </cell>
        </row>
        <row r="28">
          <cell r="H28">
            <v>3550840</v>
          </cell>
          <cell r="J28">
            <v>6.5869999999999991E-13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2A463-CDEB-418F-88FC-BD80F9FF7489}">
  <sheetPr codeName="Sheet1"/>
  <dimension ref="B2:G13"/>
  <sheetViews>
    <sheetView showGridLines="0" workbookViewId="0">
      <selection activeCell="D13" activeCellId="2" sqref="D5:G5 D9:G9 D13:G13"/>
    </sheetView>
  </sheetViews>
  <sheetFormatPr defaultRowHeight="17.399999999999999" x14ac:dyDescent="0.4"/>
  <cols>
    <col min="1" max="1" width="3.09765625" customWidth="1"/>
    <col min="3" max="7" width="15.59765625" customWidth="1"/>
  </cols>
  <sheetData>
    <row r="2" spans="2:7" ht="18" thickBot="1" x14ac:dyDescent="0.45"/>
    <row r="3" spans="2:7" x14ac:dyDescent="0.4">
      <c r="B3" s="46">
        <v>35</v>
      </c>
      <c r="C3" s="49" t="s">
        <v>1</v>
      </c>
      <c r="D3" s="49" t="s">
        <v>2</v>
      </c>
      <c r="E3" s="49"/>
      <c r="F3" s="49" t="s">
        <v>3</v>
      </c>
      <c r="G3" s="51"/>
    </row>
    <row r="4" spans="2:7" x14ac:dyDescent="0.4">
      <c r="B4" s="47"/>
      <c r="C4" s="50"/>
      <c r="D4" s="2" t="s">
        <v>5</v>
      </c>
      <c r="E4" s="2" t="s">
        <v>6</v>
      </c>
      <c r="F4" s="2" t="s">
        <v>5</v>
      </c>
      <c r="G4" s="3" t="s">
        <v>6</v>
      </c>
    </row>
    <row r="5" spans="2:7" ht="18" thickBot="1" x14ac:dyDescent="0.45">
      <c r="B5" s="48"/>
      <c r="C5" s="34">
        <v>1000000</v>
      </c>
      <c r="D5" s="8">
        <v>7.7944850173875135</v>
      </c>
      <c r="E5" s="8">
        <v>7.760064065469706</v>
      </c>
      <c r="F5" s="8">
        <v>7.8016863928000788</v>
      </c>
      <c r="G5" s="9">
        <v>7.7691626940157619</v>
      </c>
    </row>
    <row r="6" spans="2:7" ht="18" thickBot="1" x14ac:dyDescent="0.45"/>
    <row r="7" spans="2:7" x14ac:dyDescent="0.4">
      <c r="B7" s="46">
        <v>40</v>
      </c>
      <c r="C7" s="49" t="s">
        <v>1</v>
      </c>
      <c r="D7" s="49" t="s">
        <v>2</v>
      </c>
      <c r="E7" s="49"/>
      <c r="F7" s="49" t="s">
        <v>3</v>
      </c>
      <c r="G7" s="51"/>
    </row>
    <row r="8" spans="2:7" x14ac:dyDescent="0.4">
      <c r="B8" s="47"/>
      <c r="C8" s="50"/>
      <c r="D8" s="2" t="s">
        <v>5</v>
      </c>
      <c r="E8" s="2" t="s">
        <v>6</v>
      </c>
      <c r="F8" s="2" t="s">
        <v>5</v>
      </c>
      <c r="G8" s="3" t="s">
        <v>6</v>
      </c>
    </row>
    <row r="9" spans="2:7" ht="18" thickBot="1" x14ac:dyDescent="0.45">
      <c r="B9" s="48"/>
      <c r="C9" s="34">
        <v>1000000</v>
      </c>
      <c r="D9" s="8">
        <v>7.803528999092137</v>
      </c>
      <c r="E9" s="8">
        <v>7.7708107660145682</v>
      </c>
      <c r="F9" s="8">
        <v>7.8549839936887951</v>
      </c>
      <c r="G9" s="9">
        <v>7.8193898325790867</v>
      </c>
    </row>
    <row r="10" spans="2:7" ht="18" thickBot="1" x14ac:dyDescent="0.45"/>
    <row r="11" spans="2:7" x14ac:dyDescent="0.4">
      <c r="B11" s="46">
        <v>45</v>
      </c>
      <c r="C11" s="49" t="s">
        <v>1</v>
      </c>
      <c r="D11" s="49" t="s">
        <v>2</v>
      </c>
      <c r="E11" s="49"/>
      <c r="F11" s="49" t="s">
        <v>3</v>
      </c>
      <c r="G11" s="51"/>
    </row>
    <row r="12" spans="2:7" x14ac:dyDescent="0.4">
      <c r="B12" s="47"/>
      <c r="C12" s="50"/>
      <c r="D12" s="2" t="s">
        <v>5</v>
      </c>
      <c r="E12" s="2" t="s">
        <v>6</v>
      </c>
      <c r="F12" s="2" t="s">
        <v>5</v>
      </c>
      <c r="G12" s="3" t="s">
        <v>6</v>
      </c>
    </row>
    <row r="13" spans="2:7" ht="18" thickBot="1" x14ac:dyDescent="0.45">
      <c r="B13" s="48"/>
      <c r="C13" s="34">
        <v>1000000</v>
      </c>
      <c r="D13" s="8">
        <v>7.8690197010527472</v>
      </c>
      <c r="E13" s="8">
        <v>7.8344004753690086</v>
      </c>
      <c r="F13" s="8">
        <v>7.9030752913752336</v>
      </c>
      <c r="G13" s="9">
        <v>7.8681108870730938</v>
      </c>
    </row>
  </sheetData>
  <mergeCells count="12">
    <mergeCell ref="B11:B13"/>
    <mergeCell ref="C11:C12"/>
    <mergeCell ref="D11:E11"/>
    <mergeCell ref="F11:G11"/>
    <mergeCell ref="B3:B5"/>
    <mergeCell ref="C3:C4"/>
    <mergeCell ref="D3:E3"/>
    <mergeCell ref="F3:G3"/>
    <mergeCell ref="B7:B9"/>
    <mergeCell ref="C7:C8"/>
    <mergeCell ref="D7:E7"/>
    <mergeCell ref="F7:G7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6AE07-E201-4319-809C-60BBB2257E1C}">
  <sheetPr codeName="Sheet2"/>
  <dimension ref="B1:RP28"/>
  <sheetViews>
    <sheetView showGridLines="0" tabSelected="1" zoomScaleNormal="100" workbookViewId="0">
      <selection activeCell="H22" sqref="H22"/>
    </sheetView>
  </sheetViews>
  <sheetFormatPr defaultRowHeight="17.399999999999999" x14ac:dyDescent="0.4"/>
  <cols>
    <col min="1" max="1" width="3.09765625" customWidth="1"/>
    <col min="3" max="18" width="15.59765625" customWidth="1"/>
  </cols>
  <sheetData>
    <row r="1" spans="2:484" ht="15" customHeight="1" thickBot="1" x14ac:dyDescent="0.45"/>
    <row r="2" spans="2:484" ht="16.5" customHeight="1" x14ac:dyDescent="0.4">
      <c r="B2" s="62" t="s">
        <v>0</v>
      </c>
      <c r="C2" s="49" t="s">
        <v>1</v>
      </c>
      <c r="D2" s="49" t="s">
        <v>2</v>
      </c>
      <c r="E2" s="49"/>
      <c r="F2" s="49" t="s">
        <v>3</v>
      </c>
      <c r="G2" s="51"/>
      <c r="H2" s="1"/>
      <c r="I2" s="1"/>
      <c r="J2" s="12" t="s">
        <v>21</v>
      </c>
      <c r="K2" s="13" t="s">
        <v>22</v>
      </c>
      <c r="L2" s="1"/>
      <c r="M2" s="41" t="s">
        <v>37</v>
      </c>
      <c r="N2" s="77" t="s">
        <v>38</v>
      </c>
      <c r="O2" s="77"/>
      <c r="P2" s="77"/>
      <c r="Q2" s="40" t="s">
        <v>39</v>
      </c>
      <c r="RP2">
        <v>3.7982300000000001E-12</v>
      </c>
    </row>
    <row r="3" spans="2:484" ht="16.5" customHeight="1" x14ac:dyDescent="0.4">
      <c r="B3" s="58"/>
      <c r="C3" s="50"/>
      <c r="D3" s="2" t="s">
        <v>5</v>
      </c>
      <c r="E3" s="2" t="s">
        <v>6</v>
      </c>
      <c r="F3" s="2" t="s">
        <v>5</v>
      </c>
      <c r="G3" s="3" t="s">
        <v>6</v>
      </c>
      <c r="H3" s="4"/>
      <c r="I3" s="4"/>
      <c r="J3" s="2" t="s">
        <v>23</v>
      </c>
      <c r="K3" s="22">
        <v>38</v>
      </c>
      <c r="L3" s="4"/>
      <c r="M3" s="52">
        <v>0.68630000000000002</v>
      </c>
      <c r="N3" s="37" t="s">
        <v>40</v>
      </c>
      <c r="O3" s="37">
        <f>10^-12</f>
        <v>9.9999999999999998E-13</v>
      </c>
      <c r="P3" s="38"/>
      <c r="Q3" s="55">
        <v>686.30000000000007</v>
      </c>
      <c r="RP3">
        <v>3.7982300000000001E-12</v>
      </c>
    </row>
    <row r="4" spans="2:484" ht="16.5" customHeight="1" thickBot="1" x14ac:dyDescent="0.45">
      <c r="B4" s="59"/>
      <c r="C4" s="7"/>
      <c r="D4" s="8" t="e">
        <f>AVERAGE(K7,K9,K11,K13,K15)</f>
        <v>#DIV/0!</v>
      </c>
      <c r="E4" s="8" t="e">
        <f>AVERAGE(K8,K10,K12,K14,K16)</f>
        <v>#DIV/0!</v>
      </c>
      <c r="F4" s="8" t="e">
        <f>AVERAGE(Q19,Q21,Q23,Q25,Q27)</f>
        <v>#DIV/0!</v>
      </c>
      <c r="G4" s="9" t="e">
        <f>AVERAGE(Q20,Q22,Q24,Q26,Q28)</f>
        <v>#DIV/0!</v>
      </c>
      <c r="H4" s="4"/>
      <c r="I4" s="4"/>
      <c r="J4" s="2" t="s">
        <v>25</v>
      </c>
      <c r="K4" s="22">
        <v>5</v>
      </c>
      <c r="L4" s="4"/>
      <c r="M4" s="53"/>
      <c r="N4" s="37" t="s">
        <v>41</v>
      </c>
      <c r="O4" s="37">
        <f>10^-9</f>
        <v>1.0000000000000001E-9</v>
      </c>
      <c r="P4" s="38"/>
      <c r="Q4" s="56"/>
    </row>
    <row r="5" spans="2:484" ht="16.5" customHeight="1" thickBot="1" x14ac:dyDescent="0.45">
      <c r="B5" s="10"/>
      <c r="C5" s="4"/>
      <c r="D5" s="4"/>
      <c r="E5" s="4"/>
      <c r="F5" s="4"/>
      <c r="G5" s="4"/>
      <c r="H5" s="4"/>
      <c r="I5" s="4"/>
      <c r="J5" s="4"/>
      <c r="K5" s="4"/>
      <c r="L5" s="4"/>
      <c r="M5" s="53"/>
      <c r="N5" s="39" t="s">
        <v>47</v>
      </c>
      <c r="O5" s="39">
        <f>10^-6</f>
        <v>9.9999999999999995E-7</v>
      </c>
      <c r="P5" s="38"/>
      <c r="Q5" s="56"/>
      <c r="CP5">
        <v>3.7982300000000001E-12</v>
      </c>
    </row>
    <row r="6" spans="2:484" ht="16.5" customHeight="1" x14ac:dyDescent="0.4">
      <c r="B6" s="11" t="s">
        <v>7</v>
      </c>
      <c r="C6" s="12" t="s">
        <v>8</v>
      </c>
      <c r="D6" s="12" t="s">
        <v>9</v>
      </c>
      <c r="E6" s="12" t="s">
        <v>10</v>
      </c>
      <c r="F6" s="75" t="s">
        <v>11</v>
      </c>
      <c r="G6" s="76"/>
      <c r="H6" s="12" t="s">
        <v>12</v>
      </c>
      <c r="I6" s="13" t="s">
        <v>13</v>
      </c>
      <c r="J6" s="63" t="s">
        <v>14</v>
      </c>
      <c r="K6" s="64"/>
      <c r="L6" s="36"/>
      <c r="M6" s="53"/>
      <c r="N6" s="39" t="s">
        <v>42</v>
      </c>
      <c r="O6" s="39">
        <f>10^-3</f>
        <v>1E-3</v>
      </c>
      <c r="P6" s="38"/>
      <c r="Q6" s="56"/>
    </row>
    <row r="7" spans="2:484" ht="16.5" customHeight="1" x14ac:dyDescent="0.4">
      <c r="B7" s="58" t="s">
        <v>15</v>
      </c>
      <c r="C7" s="68" t="e">
        <f>$Q$17/1000</f>
        <v>#DIV/0!</v>
      </c>
      <c r="D7" s="68">
        <f>$K$4/2/1000</f>
        <v>2.5000000000000001E-3</v>
      </c>
      <c r="E7" s="68">
        <f>PI()</f>
        <v>3.1415926535897931</v>
      </c>
      <c r="F7" s="2" t="s">
        <v>16</v>
      </c>
      <c r="G7" s="15">
        <f t="shared" ref="G7:G16" si="0">J19</f>
        <v>0</v>
      </c>
      <c r="H7" s="16">
        <f t="shared" ref="H7:H16" si="1">8.854*10^(-12)</f>
        <v>8.8539999999999992E-12</v>
      </c>
      <c r="I7" s="17" t="e">
        <f>G7*(C7/(D7^2*E7))</f>
        <v>#DIV/0!</v>
      </c>
      <c r="J7" s="5" t="s">
        <v>5</v>
      </c>
      <c r="K7" s="18" t="e">
        <f>I7/H7</f>
        <v>#DIV/0!</v>
      </c>
      <c r="L7" s="21"/>
      <c r="M7" s="53"/>
      <c r="N7" s="39" t="s">
        <v>43</v>
      </c>
      <c r="O7" s="39">
        <f>10^3</f>
        <v>1000</v>
      </c>
      <c r="P7" s="38"/>
      <c r="Q7" s="56"/>
    </row>
    <row r="8" spans="2:484" ht="16.5" customHeight="1" x14ac:dyDescent="0.4">
      <c r="B8" s="58"/>
      <c r="C8" s="68"/>
      <c r="D8" s="68"/>
      <c r="E8" s="68"/>
      <c r="F8" s="2" t="s">
        <v>17</v>
      </c>
      <c r="G8" s="15">
        <f t="shared" si="0"/>
        <v>0</v>
      </c>
      <c r="H8" s="16">
        <f t="shared" si="1"/>
        <v>8.8539999999999992E-12</v>
      </c>
      <c r="I8" s="17" t="e">
        <f>G8*(C7/(D7^2*E7))</f>
        <v>#DIV/0!</v>
      </c>
      <c r="J8" s="5" t="s">
        <v>6</v>
      </c>
      <c r="K8" s="18" t="e">
        <f>I8/H8</f>
        <v>#DIV/0!</v>
      </c>
      <c r="L8" s="21"/>
      <c r="M8" s="53"/>
      <c r="N8" s="39" t="s">
        <v>44</v>
      </c>
      <c r="O8" s="39">
        <f>10^6</f>
        <v>1000000</v>
      </c>
      <c r="P8" s="38"/>
      <c r="Q8" s="56"/>
      <c r="S8">
        <v>3.7982300000000001E-12</v>
      </c>
    </row>
    <row r="9" spans="2:484" ht="16.5" customHeight="1" x14ac:dyDescent="0.4">
      <c r="B9" s="58" t="s">
        <v>19</v>
      </c>
      <c r="C9" s="68"/>
      <c r="D9" s="68"/>
      <c r="E9" s="68"/>
      <c r="F9" s="2" t="s">
        <v>16</v>
      </c>
      <c r="G9" s="15">
        <f t="shared" si="0"/>
        <v>0</v>
      </c>
      <c r="H9" s="16">
        <f t="shared" si="1"/>
        <v>8.8539999999999992E-12</v>
      </c>
      <c r="I9" s="17" t="e">
        <f>G9*(C7/(D7^2*E7))</f>
        <v>#DIV/0!</v>
      </c>
      <c r="J9" s="5" t="s">
        <v>5</v>
      </c>
      <c r="K9" s="18" t="e">
        <f t="shared" ref="K9:K16" si="2">I9/H9</f>
        <v>#DIV/0!</v>
      </c>
      <c r="L9" s="21"/>
      <c r="M9" s="53"/>
      <c r="N9" s="39" t="s">
        <v>45</v>
      </c>
      <c r="O9" s="39">
        <f>10^9</f>
        <v>1000000000</v>
      </c>
      <c r="P9" s="38"/>
      <c r="Q9" s="56"/>
    </row>
    <row r="10" spans="2:484" ht="16.5" customHeight="1" thickBot="1" x14ac:dyDescent="0.45">
      <c r="B10" s="58"/>
      <c r="C10" s="68"/>
      <c r="D10" s="68"/>
      <c r="E10" s="68"/>
      <c r="F10" s="2" t="s">
        <v>17</v>
      </c>
      <c r="G10" s="15">
        <f t="shared" si="0"/>
        <v>0</v>
      </c>
      <c r="H10" s="16">
        <f t="shared" si="1"/>
        <v>8.8539999999999992E-12</v>
      </c>
      <c r="I10" s="17" t="e">
        <f>G10*(C7/(D7^2*E7))</f>
        <v>#DIV/0!</v>
      </c>
      <c r="J10" s="5" t="s">
        <v>6</v>
      </c>
      <c r="K10" s="18" t="e">
        <f t="shared" si="2"/>
        <v>#DIV/0!</v>
      </c>
      <c r="L10" s="21"/>
      <c r="M10" s="54"/>
      <c r="N10" s="42" t="s">
        <v>46</v>
      </c>
      <c r="O10" s="42">
        <f>10^12</f>
        <v>1000000000000</v>
      </c>
      <c r="P10" s="43"/>
      <c r="Q10" s="57"/>
    </row>
    <row r="11" spans="2:484" ht="16.5" customHeight="1" x14ac:dyDescent="0.4">
      <c r="B11" s="58" t="s">
        <v>20</v>
      </c>
      <c r="C11" s="68"/>
      <c r="D11" s="68"/>
      <c r="E11" s="68"/>
      <c r="F11" s="2" t="s">
        <v>16</v>
      </c>
      <c r="G11" s="15">
        <f t="shared" si="0"/>
        <v>0</v>
      </c>
      <c r="H11" s="16">
        <f>8.854*10^(-12)</f>
        <v>8.8539999999999992E-12</v>
      </c>
      <c r="I11" s="17" t="e">
        <f>G11*(C7/(D7^2*E7))</f>
        <v>#DIV/0!</v>
      </c>
      <c r="J11" s="5" t="s">
        <v>5</v>
      </c>
      <c r="K11" s="18" t="e">
        <f t="shared" si="2"/>
        <v>#DIV/0!</v>
      </c>
      <c r="L11" s="21"/>
      <c r="M11" s="35"/>
      <c r="N11" s="4"/>
      <c r="O11" s="4"/>
      <c r="P11" s="73" t="s">
        <v>4</v>
      </c>
      <c r="Q11" s="74"/>
    </row>
    <row r="12" spans="2:484" ht="16.5" customHeight="1" x14ac:dyDescent="0.4">
      <c r="B12" s="58"/>
      <c r="C12" s="68"/>
      <c r="D12" s="68"/>
      <c r="E12" s="68"/>
      <c r="F12" s="2" t="s">
        <v>17</v>
      </c>
      <c r="G12" s="15">
        <f t="shared" si="0"/>
        <v>0</v>
      </c>
      <c r="H12" s="16">
        <f t="shared" si="1"/>
        <v>8.8539999999999992E-12</v>
      </c>
      <c r="I12" s="17" t="e">
        <f>G12*(C7/(D7^2*E7))</f>
        <v>#DIV/0!</v>
      </c>
      <c r="J12" s="5" t="s">
        <v>6</v>
      </c>
      <c r="K12" s="18" t="e">
        <f t="shared" si="2"/>
        <v>#DIV/0!</v>
      </c>
      <c r="L12" s="21"/>
      <c r="M12" s="35"/>
      <c r="N12" s="4"/>
      <c r="O12" s="4"/>
      <c r="P12" s="5">
        <v>1</v>
      </c>
      <c r="Q12" s="6"/>
    </row>
    <row r="13" spans="2:484" ht="16.5" customHeight="1" x14ac:dyDescent="0.4">
      <c r="B13" s="58" t="s">
        <v>24</v>
      </c>
      <c r="C13" s="68"/>
      <c r="D13" s="68"/>
      <c r="E13" s="68"/>
      <c r="F13" s="2" t="s">
        <v>16</v>
      </c>
      <c r="G13" s="15">
        <f t="shared" si="0"/>
        <v>0</v>
      </c>
      <c r="H13" s="16">
        <f t="shared" si="1"/>
        <v>8.8539999999999992E-12</v>
      </c>
      <c r="I13" s="17" t="e">
        <f>G13*(C7/(D7^2*E7))</f>
        <v>#DIV/0!</v>
      </c>
      <c r="J13" s="5" t="s">
        <v>5</v>
      </c>
      <c r="K13" s="18" t="e">
        <f t="shared" si="2"/>
        <v>#DIV/0!</v>
      </c>
      <c r="L13" s="21"/>
      <c r="M13" s="35"/>
      <c r="N13" s="4"/>
      <c r="O13" s="4"/>
      <c r="P13" s="5">
        <v>2</v>
      </c>
      <c r="Q13" s="6"/>
    </row>
    <row r="14" spans="2:484" ht="16.5" customHeight="1" x14ac:dyDescent="0.4">
      <c r="B14" s="58"/>
      <c r="C14" s="68"/>
      <c r="D14" s="68"/>
      <c r="E14" s="68"/>
      <c r="F14" s="2" t="s">
        <v>17</v>
      </c>
      <c r="G14" s="15">
        <f t="shared" si="0"/>
        <v>0</v>
      </c>
      <c r="H14" s="16">
        <f t="shared" si="1"/>
        <v>8.8539999999999992E-12</v>
      </c>
      <c r="I14" s="17" t="e">
        <f>G14*(C7/(D7^2*E7))</f>
        <v>#DIV/0!</v>
      </c>
      <c r="J14" s="5" t="s">
        <v>6</v>
      </c>
      <c r="K14" s="18" t="e">
        <f t="shared" si="2"/>
        <v>#DIV/0!</v>
      </c>
      <c r="L14" s="21"/>
      <c r="M14" s="35"/>
      <c r="N14" s="4"/>
      <c r="O14" s="4"/>
      <c r="P14" s="5">
        <v>3</v>
      </c>
      <c r="Q14" s="6"/>
    </row>
    <row r="15" spans="2:484" ht="16.5" customHeight="1" x14ac:dyDescent="0.4">
      <c r="B15" s="58" t="s">
        <v>26</v>
      </c>
      <c r="C15" s="68"/>
      <c r="D15" s="68"/>
      <c r="E15" s="68"/>
      <c r="F15" s="2" t="s">
        <v>16</v>
      </c>
      <c r="G15" s="15">
        <f t="shared" si="0"/>
        <v>0</v>
      </c>
      <c r="H15" s="16">
        <f t="shared" si="1"/>
        <v>8.8539999999999992E-12</v>
      </c>
      <c r="I15" s="17" t="e">
        <f>G15*(C7/(D7^2*E7))</f>
        <v>#DIV/0!</v>
      </c>
      <c r="J15" s="5" t="s">
        <v>5</v>
      </c>
      <c r="K15" s="18" t="e">
        <f t="shared" si="2"/>
        <v>#DIV/0!</v>
      </c>
      <c r="L15" s="21"/>
      <c r="M15" s="35"/>
      <c r="N15" s="4"/>
      <c r="O15" s="4"/>
      <c r="P15" s="5">
        <v>4</v>
      </c>
      <c r="Q15" s="14"/>
    </row>
    <row r="16" spans="2:484" ht="16.5" customHeight="1" thickBot="1" x14ac:dyDescent="0.45">
      <c r="B16" s="59"/>
      <c r="C16" s="69"/>
      <c r="D16" s="69"/>
      <c r="E16" s="69"/>
      <c r="F16" s="23" t="s">
        <v>17</v>
      </c>
      <c r="G16" s="24">
        <f t="shared" si="0"/>
        <v>0</v>
      </c>
      <c r="H16" s="25">
        <f t="shared" si="1"/>
        <v>8.8539999999999992E-12</v>
      </c>
      <c r="I16" s="26" t="e">
        <f>G16*(C7/(D7^2*E7))</f>
        <v>#DIV/0!</v>
      </c>
      <c r="J16" s="19" t="s">
        <v>6</v>
      </c>
      <c r="K16" s="9" t="e">
        <f t="shared" si="2"/>
        <v>#DIV/0!</v>
      </c>
      <c r="L16" s="21"/>
      <c r="M16" s="35"/>
      <c r="N16" s="4"/>
      <c r="O16" s="4"/>
      <c r="P16" s="5">
        <v>5</v>
      </c>
      <c r="Q16" s="6"/>
    </row>
    <row r="17" spans="2:17" ht="16.5" customHeight="1" thickBot="1" x14ac:dyDescent="0.45">
      <c r="B17" s="10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19" t="s">
        <v>18</v>
      </c>
      <c r="Q17" s="20" t="e">
        <f>AVERAGE(Q12:Q16)</f>
        <v>#DIV/0!</v>
      </c>
    </row>
    <row r="18" spans="2:17" ht="16.5" customHeight="1" x14ac:dyDescent="0.4">
      <c r="B18" s="11" t="s">
        <v>7</v>
      </c>
      <c r="C18" s="12" t="s">
        <v>27</v>
      </c>
      <c r="D18" s="12" t="s">
        <v>9</v>
      </c>
      <c r="E18" s="12" t="s">
        <v>10</v>
      </c>
      <c r="F18" s="12" t="s">
        <v>28</v>
      </c>
      <c r="G18" s="49" t="s">
        <v>29</v>
      </c>
      <c r="H18" s="49"/>
      <c r="I18" s="49" t="s">
        <v>11</v>
      </c>
      <c r="J18" s="49"/>
      <c r="K18" s="13" t="s">
        <v>30</v>
      </c>
      <c r="L18" s="62" t="s">
        <v>31</v>
      </c>
      <c r="M18" s="49"/>
      <c r="N18" s="12" t="s">
        <v>12</v>
      </c>
      <c r="O18" s="13" t="s">
        <v>32</v>
      </c>
      <c r="P18" s="63" t="s">
        <v>3</v>
      </c>
      <c r="Q18" s="64"/>
    </row>
    <row r="19" spans="2:17" ht="16.5" customHeight="1" x14ac:dyDescent="0.4">
      <c r="B19" s="58" t="s">
        <v>15</v>
      </c>
      <c r="C19" s="65" t="e">
        <f>$Q$17/1000</f>
        <v>#DIV/0!</v>
      </c>
      <c r="D19" s="65">
        <f>$K$4/2/1000</f>
        <v>2.5000000000000001E-3</v>
      </c>
      <c r="E19" s="68">
        <f>PI()</f>
        <v>3.1415926535897931</v>
      </c>
      <c r="F19" s="70">
        <f>$C$4</f>
        <v>0</v>
      </c>
      <c r="G19" s="44" t="s">
        <v>33</v>
      </c>
      <c r="H19" s="27"/>
      <c r="I19" s="44" t="s">
        <v>16</v>
      </c>
      <c r="J19" s="28"/>
      <c r="K19" s="60" t="e">
        <f>1/(2*3.14*F19*H20*J20)</f>
        <v>#DIV/0!</v>
      </c>
      <c r="L19" s="5" t="s">
        <v>34</v>
      </c>
      <c r="M19" s="29" t="e">
        <f>K19/(2*3.14*F19*H19)</f>
        <v>#DIV/0!</v>
      </c>
      <c r="N19" s="16">
        <f t="shared" ref="N19:N28" si="3">8.854*10^(-12)</f>
        <v>8.8539999999999992E-12</v>
      </c>
      <c r="O19" s="22" t="e">
        <f>M19*(C19/(D19^2*E19))</f>
        <v>#DIV/0!</v>
      </c>
      <c r="P19" s="5" t="s">
        <v>5</v>
      </c>
      <c r="Q19" s="22" t="e">
        <f t="shared" ref="Q19:Q28" si="4">O19/N19</f>
        <v>#DIV/0!</v>
      </c>
    </row>
    <row r="20" spans="2:17" ht="16.5" customHeight="1" x14ac:dyDescent="0.4">
      <c r="B20" s="58"/>
      <c r="C20" s="66"/>
      <c r="D20" s="66"/>
      <c r="E20" s="68"/>
      <c r="F20" s="71"/>
      <c r="G20" s="44" t="s">
        <v>35</v>
      </c>
      <c r="H20" s="27"/>
      <c r="I20" s="44" t="s">
        <v>17</v>
      </c>
      <c r="J20" s="28"/>
      <c r="K20" s="60"/>
      <c r="L20" s="5" t="s">
        <v>36</v>
      </c>
      <c r="M20" s="78" t="e">
        <f>M19/(1+(K19^2))</f>
        <v>#DIV/0!</v>
      </c>
      <c r="N20" s="16">
        <f t="shared" si="3"/>
        <v>8.8539999999999992E-12</v>
      </c>
      <c r="O20" s="17" t="e">
        <f>M20*(C19/(D19^2*E19))</f>
        <v>#DIV/0!</v>
      </c>
      <c r="P20" s="5" t="s">
        <v>6</v>
      </c>
      <c r="Q20" s="22" t="e">
        <f t="shared" si="4"/>
        <v>#DIV/0!</v>
      </c>
    </row>
    <row r="21" spans="2:17" x14ac:dyDescent="0.4">
      <c r="B21" s="58" t="s">
        <v>19</v>
      </c>
      <c r="C21" s="66"/>
      <c r="D21" s="66"/>
      <c r="E21" s="68"/>
      <c r="F21" s="71"/>
      <c r="G21" s="44" t="s">
        <v>33</v>
      </c>
      <c r="H21" s="27"/>
      <c r="I21" s="44" t="s">
        <v>16</v>
      </c>
      <c r="J21" s="28"/>
      <c r="K21" s="60" t="e">
        <f>1/(2*3.14*F19*H22*J22)</f>
        <v>#DIV/0!</v>
      </c>
      <c r="L21" s="5" t="s">
        <v>34</v>
      </c>
      <c r="M21" s="29" t="e">
        <f>K21/(2*3.14*F19*H21)</f>
        <v>#DIV/0!</v>
      </c>
      <c r="N21" s="16">
        <f t="shared" si="3"/>
        <v>8.8539999999999992E-12</v>
      </c>
      <c r="O21" s="22" t="e">
        <f>M21*(C19/(D19^2*E19))</f>
        <v>#DIV/0!</v>
      </c>
      <c r="P21" s="5" t="s">
        <v>5</v>
      </c>
      <c r="Q21" s="22" t="e">
        <f t="shared" si="4"/>
        <v>#DIV/0!</v>
      </c>
    </row>
    <row r="22" spans="2:17" x14ac:dyDescent="0.4">
      <c r="B22" s="58"/>
      <c r="C22" s="66"/>
      <c r="D22" s="66"/>
      <c r="E22" s="68"/>
      <c r="F22" s="71"/>
      <c r="G22" s="44" t="s">
        <v>35</v>
      </c>
      <c r="H22" s="27"/>
      <c r="I22" s="44" t="s">
        <v>17</v>
      </c>
      <c r="J22" s="28"/>
      <c r="K22" s="60"/>
      <c r="L22" s="5" t="s">
        <v>36</v>
      </c>
      <c r="M22" s="29" t="e">
        <f>M21/(1+(K21^2))</f>
        <v>#DIV/0!</v>
      </c>
      <c r="N22" s="16">
        <f t="shared" si="3"/>
        <v>8.8539999999999992E-12</v>
      </c>
      <c r="O22" s="17" t="e">
        <f>M22*(C19/(D19^2*E19))</f>
        <v>#DIV/0!</v>
      </c>
      <c r="P22" s="5" t="s">
        <v>6</v>
      </c>
      <c r="Q22" s="22" t="e">
        <f t="shared" si="4"/>
        <v>#DIV/0!</v>
      </c>
    </row>
    <row r="23" spans="2:17" x14ac:dyDescent="0.4">
      <c r="B23" s="58" t="s">
        <v>20</v>
      </c>
      <c r="C23" s="66"/>
      <c r="D23" s="66"/>
      <c r="E23" s="68"/>
      <c r="F23" s="71"/>
      <c r="G23" s="44" t="s">
        <v>33</v>
      </c>
      <c r="H23" s="27"/>
      <c r="I23" s="44" t="s">
        <v>16</v>
      </c>
      <c r="J23" s="28"/>
      <c r="K23" s="60" t="e">
        <f>1/(2*3.14*F19*H24*J24)</f>
        <v>#DIV/0!</v>
      </c>
      <c r="L23" s="5" t="s">
        <v>34</v>
      </c>
      <c r="M23" s="29" t="e">
        <f>K23/(2*3.14*F19*H23)</f>
        <v>#DIV/0!</v>
      </c>
      <c r="N23" s="16">
        <f t="shared" si="3"/>
        <v>8.8539999999999992E-12</v>
      </c>
      <c r="O23" s="22" t="e">
        <f>M23*(C19/(D19^2*E19))</f>
        <v>#DIV/0!</v>
      </c>
      <c r="P23" s="5" t="s">
        <v>5</v>
      </c>
      <c r="Q23" s="22" t="e">
        <f t="shared" si="4"/>
        <v>#DIV/0!</v>
      </c>
    </row>
    <row r="24" spans="2:17" x14ac:dyDescent="0.4">
      <c r="B24" s="58"/>
      <c r="C24" s="66"/>
      <c r="D24" s="66"/>
      <c r="E24" s="68"/>
      <c r="F24" s="71"/>
      <c r="G24" s="44" t="s">
        <v>35</v>
      </c>
      <c r="H24" s="27"/>
      <c r="I24" s="44" t="s">
        <v>17</v>
      </c>
      <c r="J24" s="28"/>
      <c r="K24" s="60"/>
      <c r="L24" s="5" t="s">
        <v>36</v>
      </c>
      <c r="M24" s="29" t="e">
        <f>M23/(1+(K23^2))</f>
        <v>#DIV/0!</v>
      </c>
      <c r="N24" s="16">
        <f t="shared" si="3"/>
        <v>8.8539999999999992E-12</v>
      </c>
      <c r="O24" s="17" t="e">
        <f>M24*(C19/(D19^2*E19))</f>
        <v>#DIV/0!</v>
      </c>
      <c r="P24" s="5" t="s">
        <v>6</v>
      </c>
      <c r="Q24" s="22" t="e">
        <f t="shared" si="4"/>
        <v>#DIV/0!</v>
      </c>
    </row>
    <row r="25" spans="2:17" x14ac:dyDescent="0.4">
      <c r="B25" s="58" t="s">
        <v>24</v>
      </c>
      <c r="C25" s="66"/>
      <c r="D25" s="66"/>
      <c r="E25" s="68"/>
      <c r="F25" s="71"/>
      <c r="G25" s="44" t="s">
        <v>33</v>
      </c>
      <c r="H25" s="27"/>
      <c r="I25" s="44" t="s">
        <v>16</v>
      </c>
      <c r="J25" s="28"/>
      <c r="K25" s="60" t="e">
        <f>1/(2*3.14*F19*H26*J26)</f>
        <v>#DIV/0!</v>
      </c>
      <c r="L25" s="5" t="s">
        <v>34</v>
      </c>
      <c r="M25" s="29" t="e">
        <f>K25/(2*3.14*F19*H25)</f>
        <v>#DIV/0!</v>
      </c>
      <c r="N25" s="16">
        <f t="shared" si="3"/>
        <v>8.8539999999999992E-12</v>
      </c>
      <c r="O25" s="22" t="e">
        <f>M25*(C19/(D19^2*E19))</f>
        <v>#DIV/0!</v>
      </c>
      <c r="P25" s="5" t="s">
        <v>5</v>
      </c>
      <c r="Q25" s="22" t="e">
        <f t="shared" si="4"/>
        <v>#DIV/0!</v>
      </c>
    </row>
    <row r="26" spans="2:17" x14ac:dyDescent="0.4">
      <c r="B26" s="58"/>
      <c r="C26" s="66"/>
      <c r="D26" s="66"/>
      <c r="E26" s="68"/>
      <c r="F26" s="71"/>
      <c r="G26" s="44" t="s">
        <v>35</v>
      </c>
      <c r="H26" s="27"/>
      <c r="I26" s="44" t="s">
        <v>17</v>
      </c>
      <c r="J26" s="28"/>
      <c r="K26" s="60"/>
      <c r="L26" s="5" t="s">
        <v>36</v>
      </c>
      <c r="M26" s="29" t="e">
        <f>M25/(1+(K25^2))</f>
        <v>#DIV/0!</v>
      </c>
      <c r="N26" s="16">
        <f t="shared" si="3"/>
        <v>8.8539999999999992E-12</v>
      </c>
      <c r="O26" s="17" t="e">
        <f>M26*(C19/(D19^2*E19))</f>
        <v>#DIV/0!</v>
      </c>
      <c r="P26" s="5" t="s">
        <v>6</v>
      </c>
      <c r="Q26" s="22" t="e">
        <f t="shared" si="4"/>
        <v>#DIV/0!</v>
      </c>
    </row>
    <row r="27" spans="2:17" x14ac:dyDescent="0.4">
      <c r="B27" s="58" t="s">
        <v>26</v>
      </c>
      <c r="C27" s="66"/>
      <c r="D27" s="66"/>
      <c r="E27" s="68"/>
      <c r="F27" s="71"/>
      <c r="G27" s="44" t="s">
        <v>33</v>
      </c>
      <c r="H27" s="27"/>
      <c r="I27" s="44" t="s">
        <v>16</v>
      </c>
      <c r="J27" s="28"/>
      <c r="K27" s="60" t="e">
        <f>1/(2*3.14*F19*H28*J28)</f>
        <v>#DIV/0!</v>
      </c>
      <c r="L27" s="5" t="s">
        <v>34</v>
      </c>
      <c r="M27" s="29" t="e">
        <f>K27/(2*3.14*F19*H27)</f>
        <v>#DIV/0!</v>
      </c>
      <c r="N27" s="16">
        <f t="shared" si="3"/>
        <v>8.8539999999999992E-12</v>
      </c>
      <c r="O27" s="22" t="e">
        <f>M27*(C19/(D19^2*E19))</f>
        <v>#DIV/0!</v>
      </c>
      <c r="P27" s="5" t="s">
        <v>5</v>
      </c>
      <c r="Q27" s="22" t="e">
        <f t="shared" si="4"/>
        <v>#DIV/0!</v>
      </c>
    </row>
    <row r="28" spans="2:17" ht="18" thickBot="1" x14ac:dyDescent="0.45">
      <c r="B28" s="59"/>
      <c r="C28" s="67"/>
      <c r="D28" s="67"/>
      <c r="E28" s="69"/>
      <c r="F28" s="72"/>
      <c r="G28" s="45" t="s">
        <v>35</v>
      </c>
      <c r="H28" s="30"/>
      <c r="I28" s="45" t="s">
        <v>17</v>
      </c>
      <c r="J28" s="31"/>
      <c r="K28" s="61"/>
      <c r="L28" s="19" t="s">
        <v>36</v>
      </c>
      <c r="M28" s="32" t="e">
        <f>M27/(1+(K27^2))</f>
        <v>#DIV/0!</v>
      </c>
      <c r="N28" s="25">
        <f t="shared" si="3"/>
        <v>8.8539999999999992E-12</v>
      </c>
      <c r="O28" s="26" t="e">
        <f>M28*(C19/(D19^2*E19))</f>
        <v>#DIV/0!</v>
      </c>
      <c r="P28" s="19" t="s">
        <v>6</v>
      </c>
      <c r="Q28" s="33" t="e">
        <f t="shared" si="4"/>
        <v>#DIV/0!</v>
      </c>
    </row>
  </sheetData>
  <mergeCells count="36">
    <mergeCell ref="N2:P2"/>
    <mergeCell ref="P11:Q11"/>
    <mergeCell ref="F6:G6"/>
    <mergeCell ref="J6:K6"/>
    <mergeCell ref="B7:B8"/>
    <mergeCell ref="C7:C16"/>
    <mergeCell ref="D7:D16"/>
    <mergeCell ref="E7:E16"/>
    <mergeCell ref="B9:B10"/>
    <mergeCell ref="B11:B12"/>
    <mergeCell ref="B13:B14"/>
    <mergeCell ref="B15:B16"/>
    <mergeCell ref="D19:D28"/>
    <mergeCell ref="E19:E28"/>
    <mergeCell ref="F19:F28"/>
    <mergeCell ref="K19:K20"/>
    <mergeCell ref="B2:B4"/>
    <mergeCell ref="C2:C3"/>
    <mergeCell ref="D2:E2"/>
    <mergeCell ref="F2:G2"/>
    <mergeCell ref="M3:M10"/>
    <mergeCell ref="Q3:Q10"/>
    <mergeCell ref="B27:B28"/>
    <mergeCell ref="K27:K28"/>
    <mergeCell ref="B21:B22"/>
    <mergeCell ref="K21:K22"/>
    <mergeCell ref="B23:B24"/>
    <mergeCell ref="K23:K24"/>
    <mergeCell ref="B25:B26"/>
    <mergeCell ref="K25:K26"/>
    <mergeCell ref="G18:H18"/>
    <mergeCell ref="I18:J18"/>
    <mergeCell ref="L18:M18"/>
    <mergeCell ref="P18:Q18"/>
    <mergeCell ref="B19:B20"/>
    <mergeCell ref="C19:C28"/>
  </mergeCells>
  <phoneticPr fontId="3" type="noConversion"/>
  <conditionalFormatting sqref="C4 Q12:Q16 H19:H28 J19:J28">
    <cfRule type="containsBlanks" dxfId="0" priority="1">
      <formula>LEN(TRIM(C4))=0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31</vt:i4>
      </vt:variant>
    </vt:vector>
  </HeadingPairs>
  <TitlesOfParts>
    <vt:vector size="33" baseType="lpstr">
      <vt:lpstr>취합</vt:lpstr>
      <vt:lpstr>Referece</vt:lpstr>
      <vt:lpstr>Cp사</vt:lpstr>
      <vt:lpstr>Cp삼</vt:lpstr>
      <vt:lpstr>Cp오</vt:lpstr>
      <vt:lpstr>Cp이</vt:lpstr>
      <vt:lpstr>Cp일</vt:lpstr>
      <vt:lpstr>Cs사</vt:lpstr>
      <vt:lpstr>Cs삼</vt:lpstr>
      <vt:lpstr>Cs오</vt:lpstr>
      <vt:lpstr>Cs이</vt:lpstr>
      <vt:lpstr>Cs일</vt:lpstr>
      <vt:lpstr>Rp사</vt:lpstr>
      <vt:lpstr>Rp삼</vt:lpstr>
      <vt:lpstr>Rp오</vt:lpstr>
      <vt:lpstr>Rp이</vt:lpstr>
      <vt:lpstr>Rp일</vt:lpstr>
      <vt:lpstr>Rs사</vt:lpstr>
      <vt:lpstr>Rs삼</vt:lpstr>
      <vt:lpstr>Rs오</vt:lpstr>
      <vt:lpstr>Rs이</vt:lpstr>
      <vt:lpstr>Rs일</vt:lpstr>
      <vt:lpstr>기가</vt:lpstr>
      <vt:lpstr>나노</vt:lpstr>
      <vt:lpstr>단위적용</vt:lpstr>
      <vt:lpstr>마이크로</vt:lpstr>
      <vt:lpstr>메가</vt:lpstr>
      <vt:lpstr>밀리</vt:lpstr>
      <vt:lpstr>정전용량</vt:lpstr>
      <vt:lpstr>초기화범위</vt:lpstr>
      <vt:lpstr>킬로</vt:lpstr>
      <vt:lpstr>테라</vt:lpstr>
      <vt:lpstr>피코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8105</cp:lastModifiedBy>
  <dcterms:created xsi:type="dcterms:W3CDTF">2025-01-13T08:21:04Z</dcterms:created>
  <dcterms:modified xsi:type="dcterms:W3CDTF">2025-01-13T11:25:49Z</dcterms:modified>
</cp:coreProperties>
</file>